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dar_toolbox\source\ti\examples\Automotive_InCabin_Security_and_Safety\AWRL6844_InCabin_Demos\docs\Seat_Belt_Reminder\"/>
    </mc:Choice>
  </mc:AlternateContent>
  <xr:revisionPtr revIDLastSave="0" documentId="13_ncr:1_{36B41F9B-6034-4B93-97BF-D5DA08212CB8}" xr6:coauthVersionLast="36" xr6:coauthVersionMax="36" xr10:uidLastSave="{00000000-0000-0000-0000-000000000000}"/>
  <bookViews>
    <workbookView xWindow="0" yWindow="0" windowWidth="8570" windowHeight="5490" xr2:uid="{31E3993F-6015-49A3-AA84-D70E6DA41BD7}"/>
  </bookViews>
  <sheets>
    <sheet name="zone for SBR" sheetId="2" r:id="rId1"/>
    <sheet name="zone for CPDLPD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5" i="1" l="1"/>
  <c r="F65" i="1"/>
  <c r="F57" i="1"/>
  <c r="I60" i="1"/>
  <c r="I59" i="2"/>
  <c r="I56" i="1" l="1"/>
  <c r="I64" i="2" l="1"/>
  <c r="H64" i="2"/>
  <c r="G64" i="2"/>
  <c r="F64" i="2"/>
  <c r="I63" i="2"/>
  <c r="H63" i="2"/>
  <c r="G63" i="2"/>
  <c r="F63" i="2"/>
  <c r="I62" i="2"/>
  <c r="H62" i="2"/>
  <c r="G62" i="2"/>
  <c r="F62" i="2"/>
  <c r="I60" i="2"/>
  <c r="H60" i="2"/>
  <c r="G60" i="2"/>
  <c r="F60" i="2"/>
  <c r="H59" i="2"/>
  <c r="G59" i="2"/>
  <c r="F59" i="2"/>
  <c r="I58" i="2"/>
  <c r="H58" i="2"/>
  <c r="G58" i="2"/>
  <c r="F58" i="2"/>
  <c r="I56" i="2"/>
  <c r="H56" i="2"/>
  <c r="G56" i="2"/>
  <c r="F56" i="2"/>
  <c r="I55" i="2"/>
  <c r="H55" i="2"/>
  <c r="G55" i="2"/>
  <c r="F55" i="2"/>
  <c r="I54" i="2"/>
  <c r="H54" i="2"/>
  <c r="G54" i="2"/>
  <c r="F54" i="2"/>
  <c r="I52" i="2"/>
  <c r="G52" i="2"/>
  <c r="F52" i="2"/>
  <c r="I51" i="2"/>
  <c r="H51" i="2"/>
  <c r="G51" i="2"/>
  <c r="F51" i="2"/>
  <c r="I50" i="2"/>
  <c r="H50" i="2"/>
  <c r="G50" i="2"/>
  <c r="F50" i="2"/>
  <c r="I48" i="2"/>
  <c r="G48" i="2"/>
  <c r="F48" i="2"/>
  <c r="I47" i="2"/>
  <c r="H47" i="2"/>
  <c r="G47" i="2"/>
  <c r="F47" i="2"/>
  <c r="I46" i="2"/>
  <c r="H46" i="2"/>
  <c r="G46" i="2"/>
  <c r="F46" i="2"/>
  <c r="F42" i="2"/>
  <c r="D42" i="2"/>
  <c r="C42" i="2"/>
  <c r="F41" i="2"/>
  <c r="D41" i="2"/>
  <c r="C41" i="2"/>
  <c r="G64" i="1"/>
  <c r="G56" i="1"/>
  <c r="G63" i="1"/>
  <c r="G55" i="1"/>
  <c r="I63" i="1"/>
  <c r="I59" i="1"/>
  <c r="I55" i="1"/>
  <c r="I51" i="1"/>
  <c r="I47" i="1"/>
  <c r="H64" i="1"/>
  <c r="H56" i="1"/>
  <c r="H52" i="1"/>
  <c r="H48" i="1"/>
  <c r="H63" i="1" l="1"/>
  <c r="I64" i="1"/>
  <c r="H60" i="1"/>
  <c r="F64" i="1"/>
  <c r="F56" i="1"/>
  <c r="F60" i="1"/>
  <c r="I48" i="1"/>
  <c r="F47" i="1" l="1"/>
  <c r="G59" i="1" l="1"/>
  <c r="G60" i="1"/>
  <c r="I61" i="1"/>
  <c r="F61" i="1"/>
  <c r="H65" i="1"/>
  <c r="H57" i="1"/>
  <c r="G57" i="1"/>
  <c r="G61" i="1"/>
  <c r="H55" i="1"/>
  <c r="I52" i="1"/>
  <c r="H51" i="1"/>
  <c r="H47" i="1"/>
  <c r="I57" i="1"/>
  <c r="H61" i="1"/>
  <c r="H59" i="1"/>
  <c r="F55" i="1"/>
  <c r="G51" i="1"/>
  <c r="G47" i="1"/>
  <c r="F51" i="1"/>
  <c r="F52" i="1"/>
  <c r="F48" i="1"/>
  <c r="F53" i="1"/>
  <c r="F49" i="1"/>
  <c r="G49" i="1"/>
  <c r="F42" i="1"/>
  <c r="D42" i="1"/>
  <c r="C42" i="1"/>
  <c r="F59" i="1"/>
  <c r="F63" i="1"/>
  <c r="I65" i="1"/>
  <c r="F41" i="1"/>
  <c r="D41" i="1"/>
  <c r="C41" i="1"/>
  <c r="I53" i="1"/>
  <c r="G53" i="1"/>
  <c r="G52" i="1"/>
  <c r="I49" i="1"/>
  <c r="G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Yang, Zigang</author>
  </authors>
  <commentList>
    <comment ref="A24" authorId="0" shapeId="0" xr:uid="{3A98FA55-055A-4FBE-AAD6-3F9D564D74A3}">
      <text>
        <r>
          <rPr>
            <b/>
            <sz val="9"/>
            <color indexed="81"/>
            <rFont val="Tahoma"/>
            <charset val="1"/>
          </rPr>
          <t>Yang, Zigang:</t>
        </r>
        <r>
          <rPr>
            <sz val="9"/>
            <color indexed="81"/>
            <rFont val="Tahoma"/>
            <charset val="1"/>
          </rPr>
          <t xml:space="preserve">
We observe the point cloud lower than the seat height due to accuracy reasons
</t>
        </r>
      </text>
    </comment>
    <comment ref="A32" authorId="0" shapeId="0" xr:uid="{4A2671F0-5D7B-490E-9A71-96E8F73AAB32}">
      <text>
        <r>
          <rPr>
            <b/>
            <sz val="9"/>
            <color indexed="81"/>
            <rFont val="Tahoma"/>
            <charset val="1"/>
          </rPr>
          <t>Yang, Zigang:</t>
        </r>
        <r>
          <rPr>
            <sz val="9"/>
            <color indexed="81"/>
            <rFont val="Tahoma"/>
            <charset val="1"/>
          </rPr>
          <t xml:space="preserve">
Adjust this number if you see false detection from the front middle container towards the second row middle seat
</t>
        </r>
      </text>
    </comment>
    <comment ref="A33" authorId="0" shapeId="0" xr:uid="{66EDD6F0-5194-43A8-990F-CA7E0C34B247}">
      <text>
        <r>
          <rPr>
            <b/>
            <sz val="9"/>
            <color indexed="81"/>
            <rFont val="Tahoma"/>
            <charset val="1"/>
          </rPr>
          <t>Yang, Zigang:</t>
        </r>
        <r>
          <rPr>
            <sz val="9"/>
            <color indexed="81"/>
            <rFont val="Tahoma"/>
            <charset val="1"/>
          </rPr>
          <t xml:space="preserve">
Adjust this number if you see false detection point at the edge of the 2nd row middle seat </t>
        </r>
      </text>
    </comment>
    <comment ref="A34" authorId="0" shapeId="0" xr:uid="{F0961699-9677-4D7D-97C9-03F9BDBFB5B3}">
      <text>
        <r>
          <rPr>
            <b/>
            <sz val="9"/>
            <color indexed="81"/>
            <rFont val="Tahoma"/>
            <charset val="1"/>
          </rPr>
          <t>Yang, Zigang:</t>
        </r>
        <r>
          <rPr>
            <sz val="9"/>
            <color indexed="81"/>
            <rFont val="Tahoma"/>
            <charset val="1"/>
          </rPr>
          <t xml:space="preserve">
Increase this value if you see false detection from the middle footwell region
</t>
        </r>
      </text>
    </comment>
    <comment ref="A35" authorId="0" shapeId="0" xr:uid="{E0963677-5927-4A45-B206-59AF8D7AE42B}">
      <text>
        <r>
          <rPr>
            <b/>
            <sz val="9"/>
            <color indexed="81"/>
            <rFont val="Tahoma"/>
            <charset val="1"/>
          </rPr>
          <t>Yang, Zigang:</t>
        </r>
        <r>
          <rPr>
            <sz val="9"/>
            <color indexed="81"/>
            <rFont val="Tahoma"/>
            <charset val="1"/>
          </rPr>
          <t xml:space="preserve">
Adjust this number if false detection point is seen from the back middle seat
</t>
        </r>
      </text>
    </comment>
    <comment ref="A42" authorId="0" shapeId="0" xr:uid="{2DE8F0A3-D63F-4A5A-B801-88E68EA849F6}">
      <text>
        <r>
          <rPr>
            <b/>
            <sz val="9"/>
            <color indexed="81"/>
            <rFont val="Tahoma"/>
            <charset val="1"/>
          </rPr>
          <t>Yang, Zigang:</t>
        </r>
        <r>
          <rPr>
            <sz val="9"/>
            <color indexed="81"/>
            <rFont val="Tahoma"/>
            <charset val="1"/>
          </rPr>
          <t xml:space="preserve">
Mount with 180 degree of rotation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Yang, Zigang</author>
  </authors>
  <commentList>
    <comment ref="A24" authorId="0" shapeId="0" xr:uid="{2E76150B-A481-4E0D-9F26-593A8446DCA9}">
      <text>
        <r>
          <rPr>
            <b/>
            <sz val="9"/>
            <color indexed="81"/>
            <rFont val="Tahoma"/>
            <charset val="1"/>
          </rPr>
          <t>Yang, Zigang:</t>
        </r>
        <r>
          <rPr>
            <sz val="9"/>
            <color indexed="81"/>
            <rFont val="Tahoma"/>
            <charset val="1"/>
          </rPr>
          <t xml:space="preserve">
We observe the point cloud lower than the seat height due to accuracy reasons
</t>
        </r>
      </text>
    </comment>
    <comment ref="A32" authorId="0" shapeId="0" xr:uid="{CEC2A3CF-8FC8-4F61-8590-29013AA4AC61}">
      <text>
        <r>
          <rPr>
            <b/>
            <sz val="9"/>
            <color indexed="81"/>
            <rFont val="Tahoma"/>
            <charset val="1"/>
          </rPr>
          <t>Yang, Zigang:</t>
        </r>
        <r>
          <rPr>
            <sz val="9"/>
            <color indexed="81"/>
            <rFont val="Tahoma"/>
            <charset val="1"/>
          </rPr>
          <t xml:space="preserve">
Adjust this number if you see false detection from the front middle container towards the second row middle seat
</t>
        </r>
      </text>
    </comment>
    <comment ref="A33" authorId="0" shapeId="0" xr:uid="{8841CF48-A822-417B-BC28-D23117CFCFBC}">
      <text>
        <r>
          <rPr>
            <b/>
            <sz val="9"/>
            <color indexed="81"/>
            <rFont val="Tahoma"/>
            <charset val="1"/>
          </rPr>
          <t>Yang, Zigang:</t>
        </r>
        <r>
          <rPr>
            <sz val="9"/>
            <color indexed="81"/>
            <rFont val="Tahoma"/>
            <charset val="1"/>
          </rPr>
          <t xml:space="preserve">
Adjust this number if you see false detection point at the edge of the 2nd row middle seat </t>
        </r>
      </text>
    </comment>
    <comment ref="A34" authorId="0" shapeId="0" xr:uid="{0EB47B0D-81AA-4199-9FD6-9B6C5340FCF8}">
      <text>
        <r>
          <rPr>
            <b/>
            <sz val="9"/>
            <color indexed="81"/>
            <rFont val="Tahoma"/>
            <charset val="1"/>
          </rPr>
          <t>Yang, Zigang:</t>
        </r>
        <r>
          <rPr>
            <sz val="9"/>
            <color indexed="81"/>
            <rFont val="Tahoma"/>
            <charset val="1"/>
          </rPr>
          <t xml:space="preserve">
Increase this value if you see false detection from the middle footwell region
</t>
        </r>
      </text>
    </comment>
    <comment ref="A35" authorId="0" shapeId="0" xr:uid="{F08B6F44-0D83-4942-A64A-3EB2FEF847E5}">
      <text>
        <r>
          <rPr>
            <b/>
            <sz val="9"/>
            <color indexed="81"/>
            <rFont val="Tahoma"/>
            <charset val="1"/>
          </rPr>
          <t>Yang, Zigang:</t>
        </r>
        <r>
          <rPr>
            <sz val="9"/>
            <color indexed="81"/>
            <rFont val="Tahoma"/>
            <charset val="1"/>
          </rPr>
          <t xml:space="preserve">
Adjust this number if false detection point is seen from the back middle seat
</t>
        </r>
      </text>
    </comment>
    <comment ref="A41" authorId="0" shapeId="0" xr:uid="{305D7CC3-F617-42B9-AB5B-F26F6D51C12F}">
      <text>
        <r>
          <rPr>
            <b/>
            <sz val="9"/>
            <color indexed="81"/>
            <rFont val="Tahoma"/>
            <charset val="1"/>
          </rPr>
          <t>Yang, Zigang:</t>
        </r>
        <r>
          <rPr>
            <sz val="9"/>
            <color indexed="81"/>
            <rFont val="Tahoma"/>
            <charset val="1"/>
          </rPr>
          <t xml:space="preserve">
For regular mounting, refer to the left picture of the two mounting photos.</t>
        </r>
      </text>
    </comment>
    <comment ref="A42" authorId="0" shapeId="0" xr:uid="{B96F59EA-3FB0-4E45-A402-C472116051EB}">
      <text>
        <r>
          <rPr>
            <b/>
            <sz val="9"/>
            <color indexed="81"/>
            <rFont val="Tahoma"/>
            <charset val="1"/>
          </rPr>
          <t>Yang, Zigang:</t>
        </r>
        <r>
          <rPr>
            <sz val="9"/>
            <color indexed="81"/>
            <rFont val="Tahoma"/>
            <charset val="1"/>
          </rPr>
          <t xml:space="preserve">
Mount with 180 degree of rotation.  See the right picture of the two mounting photos
</t>
        </r>
      </text>
    </comment>
  </commentList>
</comments>
</file>

<file path=xl/sharedStrings.xml><?xml version="1.0" encoding="utf-8"?>
<sst xmlns="http://schemas.openxmlformats.org/spreadsheetml/2006/main" count="156" uniqueCount="52">
  <si>
    <t>2nd row seat height</t>
  </si>
  <si>
    <t>zOffset</t>
  </si>
  <si>
    <t>y1</t>
  </si>
  <si>
    <t>y3</t>
  </si>
  <si>
    <t>y2</t>
  </si>
  <si>
    <t>cuboidDef </t>
  </si>
  <si>
    <t>xMin</t>
  </si>
  <si>
    <t>xMax</t>
  </si>
  <si>
    <t>yMin</t>
  </si>
  <si>
    <t>yMax</t>
  </si>
  <si>
    <t>zMin</t>
  </si>
  <si>
    <t>zMax</t>
  </si>
  <si>
    <t xml:space="preserve">sensorPosition </t>
  </si>
  <si>
    <t>xOffset</t>
  </si>
  <si>
    <t>yOffset</t>
  </si>
  <si>
    <t>ElevTilt</t>
  </si>
  <si>
    <t>azimTilt</t>
  </si>
  <si>
    <t>% Driver seat</t>
  </si>
  <si>
    <t>% passenger seat</t>
  </si>
  <si>
    <t>% 2nd row driver side</t>
  </si>
  <si>
    <t>%footwell</t>
  </si>
  <si>
    <t>%leg</t>
  </si>
  <si>
    <t>%body</t>
  </si>
  <si>
    <t>%2nd row middle seat</t>
  </si>
  <si>
    <t>%2nd row passenger side</t>
  </si>
  <si>
    <t>2nd row leg room</t>
  </si>
  <si>
    <t>1st row leg room</t>
  </si>
  <si>
    <t xml:space="preserve">%sensorPosition </t>
  </si>
  <si>
    <t>1st row footwell depth</t>
  </si>
  <si>
    <t>1st row chair depth</t>
  </si>
  <si>
    <t>2nd row chair depth</t>
  </si>
  <si>
    <t>1st row seat height</t>
  </si>
  <si>
    <t>θ (sensor rotation angle)</t>
  </si>
  <si>
    <t>Sensor height zOffset</t>
  </si>
  <si>
    <t>2nd row footwell depth</t>
  </si>
  <si>
    <t>1st row chair slope depth (d1)</t>
  </si>
  <si>
    <t>middle container edge (m1)</t>
  </si>
  <si>
    <t>leg height</t>
  </si>
  <si>
    <t>2nd row footwell expand margin</t>
  </si>
  <si>
    <t>middle seat floor (m3)</t>
  </si>
  <si>
    <t>middle seat edge margin (m2)</t>
  </si>
  <si>
    <t>middle seat margin (m4)</t>
  </si>
  <si>
    <t>yRef</t>
  </si>
  <si>
    <t>Measurement relative to yRef</t>
  </si>
  <si>
    <t>Height measurement</t>
  </si>
  <si>
    <t>seat depth and leg/footwell room measurement</t>
  </si>
  <si>
    <t>Seat height expand margin</t>
  </si>
  <si>
    <t>Ceiling height</t>
  </si>
  <si>
    <t xml:space="preserve">If needed, create some margin for 2nd row middle seat </t>
  </si>
  <si>
    <t>to avoid false detection from the strong seat reflection</t>
  </si>
  <si>
    <t>% footwell and 2nd-row rear facing area can use some multipath reflection</t>
  </si>
  <si>
    <t>2nd row rear facing expand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</si>
</sst>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555555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Fill="1"/>
    <xf numFmtId="0" fontId="0" fillId="4" borderId="0" xfId="0" applyFill="1"/>
    <xf numFmtId="0" fontId="4" fillId="2" borderId="0" xfId="0" applyFont="1" applyFill="1"/>
    <xf numFmtId="0" fontId="4" fillId="0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64944</xdr:colOff>
      <xdr:row>24</xdr:row>
      <xdr:rowOff>169286</xdr:rowOff>
    </xdr:from>
    <xdr:to>
      <xdr:col>12</xdr:col>
      <xdr:colOff>551140</xdr:colOff>
      <xdr:row>35</xdr:row>
      <xdr:rowOff>4264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DF3FF-7CCD-4A81-8941-DCA92964B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6569" y="4512686"/>
          <a:ext cx="3024609" cy="1825703"/>
        </a:xfrm>
        <a:prstGeom prst="rect">
          <a:avLst/>
        </a:prstGeom>
      </xdr:spPr>
    </xdr:pic>
    <xdr:clientData/>
  </xdr:twoCellAnchor>
  <xdr:twoCellAnchor editAs="oneCell">
    <xdr:from>
      <xdr:col>4</xdr:col>
      <xdr:colOff>412750</xdr:colOff>
      <xdr:row>0</xdr:row>
      <xdr:rowOff>25400</xdr:rowOff>
    </xdr:from>
    <xdr:to>
      <xdr:col>14</xdr:col>
      <xdr:colOff>33794</xdr:colOff>
      <xdr:row>11</xdr:row>
      <xdr:rowOff>173036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D3AB55-A52C-4BAE-B87D-63C6F64AC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08463" y="25400"/>
          <a:ext cx="5040769" cy="2138361"/>
        </a:xfrm>
        <a:prstGeom prst="rect">
          <a:avLst/>
        </a:prstGeom>
      </xdr:spPr>
    </xdr:pic>
    <xdr:clientData/>
  </xdr:twoCellAnchor>
  <xdr:twoCellAnchor editAs="oneCell">
    <xdr:from>
      <xdr:col>5</xdr:col>
      <xdr:colOff>139699</xdr:colOff>
      <xdr:row>13</xdr:row>
      <xdr:rowOff>65447</xdr:rowOff>
    </xdr:from>
    <xdr:to>
      <xdr:col>14</xdr:col>
      <xdr:colOff>220648</xdr:colOff>
      <xdr:row>24</xdr:row>
      <xdr:rowOff>128722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D615AC-4C90-47C3-B577-72B67F769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8337" y="2418122"/>
          <a:ext cx="4957749" cy="2054000"/>
        </a:xfrm>
        <a:prstGeom prst="rect">
          <a:avLst/>
        </a:prstGeom>
      </xdr:spPr>
    </xdr:pic>
    <xdr:clientData/>
  </xdr:twoCellAnchor>
  <xdr:twoCellAnchor>
    <xdr:from>
      <xdr:col>12</xdr:col>
      <xdr:colOff>611605</xdr:colOff>
      <xdr:row>35</xdr:row>
      <xdr:rowOff>145991</xdr:rowOff>
    </xdr:from>
    <xdr:to>
      <xdr:col>14</xdr:col>
      <xdr:colOff>584846</xdr:colOff>
      <xdr:row>43</xdr:row>
      <xdr:rowOff>49671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543682F0-0735-4106-ACC6-B3318D224BA6}"/>
            </a:ext>
          </a:extLst>
        </xdr:cNvPr>
        <xdr:cNvGrpSpPr/>
      </xdr:nvGrpSpPr>
      <xdr:grpSpPr>
        <a:xfrm>
          <a:off x="7783370" y="6682756"/>
          <a:ext cx="1198417" cy="1360444"/>
          <a:chOff x="3856383" y="1469302"/>
          <a:chExt cx="1732560" cy="1974878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63C50A64-B944-498E-92E3-EB47942D4B3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38723" t="35700" r="17785" b="21934"/>
          <a:stretch/>
        </xdr:blipFill>
        <xdr:spPr>
          <a:xfrm>
            <a:off x="3856383" y="1469302"/>
            <a:ext cx="1732560" cy="1974878"/>
          </a:xfrm>
          <a:prstGeom prst="rect">
            <a:avLst/>
          </a:prstGeom>
        </xdr:spPr>
      </xdr:pic>
      <xdr:sp macro="" textlink="">
        <xdr:nvSpPr>
          <xdr:cNvPr id="7" name="Oval 6">
            <a:extLst>
              <a:ext uri="{FF2B5EF4-FFF2-40B4-BE49-F238E27FC236}">
                <a16:creationId xmlns:a16="http://schemas.microsoft.com/office/drawing/2014/main" id="{2A5932EC-9274-44B5-B9EC-92D062342A2B}"/>
              </a:ext>
            </a:extLst>
          </xdr:cNvPr>
          <xdr:cNvSpPr/>
        </xdr:nvSpPr>
        <xdr:spPr>
          <a:xfrm>
            <a:off x="4572000" y="2027582"/>
            <a:ext cx="993912" cy="845144"/>
          </a:xfrm>
          <a:prstGeom prst="ellipse">
            <a:avLst/>
          </a:prstGeom>
          <a:noFill/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380895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76179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142683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523573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1904467" algn="l" defTabSz="76179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285362" algn="l" defTabSz="76179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2666253" algn="l" defTabSz="76179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047146" algn="l" defTabSz="76179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15</xdr:col>
      <xdr:colOff>396551</xdr:colOff>
      <xdr:row>36</xdr:row>
      <xdr:rowOff>9506</xdr:rowOff>
    </xdr:from>
    <xdr:to>
      <xdr:col>17</xdr:col>
      <xdr:colOff>364444</xdr:colOff>
      <xdr:row>43</xdr:row>
      <xdr:rowOff>34118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283E8607-E247-427C-BA7F-DAFB9AB55B25}"/>
            </a:ext>
          </a:extLst>
        </xdr:cNvPr>
        <xdr:cNvGrpSpPr/>
      </xdr:nvGrpSpPr>
      <xdr:grpSpPr>
        <a:xfrm>
          <a:off x="9406080" y="6733035"/>
          <a:ext cx="1193070" cy="1294612"/>
          <a:chOff x="5990607" y="3542859"/>
          <a:chExt cx="676896" cy="891493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1FED6A74-B515-4134-AE3D-C6CC800E11C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24925" t="30953" r="23674" b="13395"/>
          <a:stretch/>
        </xdr:blipFill>
        <xdr:spPr>
          <a:xfrm>
            <a:off x="6001388" y="3542859"/>
            <a:ext cx="666115" cy="891493"/>
          </a:xfrm>
          <a:prstGeom prst="rect">
            <a:avLst/>
          </a:prstGeom>
        </xdr:spPr>
      </xdr:pic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71B06A2B-C29F-4521-8B1A-183BAC060C1C}"/>
              </a:ext>
            </a:extLst>
          </xdr:cNvPr>
          <xdr:cNvSpPr/>
        </xdr:nvSpPr>
        <xdr:spPr>
          <a:xfrm>
            <a:off x="5990607" y="3758203"/>
            <a:ext cx="478872" cy="416358"/>
          </a:xfrm>
          <a:prstGeom prst="ellipse">
            <a:avLst/>
          </a:prstGeom>
          <a:noFill/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380895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76179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142683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523573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1904467" algn="l" defTabSz="76179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285362" algn="l" defTabSz="76179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2666253" algn="l" defTabSz="76179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047146" algn="l" defTabSz="76179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64944</xdr:colOff>
      <xdr:row>24</xdr:row>
      <xdr:rowOff>169286</xdr:rowOff>
    </xdr:from>
    <xdr:to>
      <xdr:col>12</xdr:col>
      <xdr:colOff>551140</xdr:colOff>
      <xdr:row>35</xdr:row>
      <xdr:rowOff>4264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FD5AFB1-DCCD-496D-BDB3-2C40AB964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7830" y="4533468"/>
          <a:ext cx="3027638" cy="1835228"/>
        </a:xfrm>
        <a:prstGeom prst="rect">
          <a:avLst/>
        </a:prstGeom>
      </xdr:spPr>
    </xdr:pic>
    <xdr:clientData/>
  </xdr:twoCellAnchor>
  <xdr:twoCellAnchor editAs="oneCell">
    <xdr:from>
      <xdr:col>4</xdr:col>
      <xdr:colOff>412750</xdr:colOff>
      <xdr:row>0</xdr:row>
      <xdr:rowOff>25400</xdr:rowOff>
    </xdr:from>
    <xdr:to>
      <xdr:col>14</xdr:col>
      <xdr:colOff>33794</xdr:colOff>
      <xdr:row>11</xdr:row>
      <xdr:rowOff>173036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2FA963-BFEA-42A6-8BE2-AF46CA7BA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24300" y="25400"/>
          <a:ext cx="5055067" cy="2173286"/>
        </a:xfrm>
        <a:prstGeom prst="rect">
          <a:avLst/>
        </a:prstGeom>
      </xdr:spPr>
    </xdr:pic>
    <xdr:clientData/>
  </xdr:twoCellAnchor>
  <xdr:twoCellAnchor editAs="oneCell">
    <xdr:from>
      <xdr:col>5</xdr:col>
      <xdr:colOff>139699</xdr:colOff>
      <xdr:row>13</xdr:row>
      <xdr:rowOff>65447</xdr:rowOff>
    </xdr:from>
    <xdr:to>
      <xdr:col>14</xdr:col>
      <xdr:colOff>220648</xdr:colOff>
      <xdr:row>24</xdr:row>
      <xdr:rowOff>128722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152A994-D00A-4783-A0F7-8AE1A3B6F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7349" y="2275247"/>
          <a:ext cx="4970460" cy="2080998"/>
        </a:xfrm>
        <a:prstGeom prst="rect">
          <a:avLst/>
        </a:prstGeom>
      </xdr:spPr>
    </xdr:pic>
    <xdr:clientData/>
  </xdr:twoCellAnchor>
  <xdr:twoCellAnchor>
    <xdr:from>
      <xdr:col>10</xdr:col>
      <xdr:colOff>219398</xdr:colOff>
      <xdr:row>35</xdr:row>
      <xdr:rowOff>112373</xdr:rowOff>
    </xdr:from>
    <xdr:to>
      <xdr:col>12</xdr:col>
      <xdr:colOff>192640</xdr:colOff>
      <xdr:row>44</xdr:row>
      <xdr:rowOff>16053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9C643D57-6422-40B3-BFFE-DB3670F47D15}"/>
            </a:ext>
          </a:extLst>
        </xdr:cNvPr>
        <xdr:cNvGrpSpPr/>
      </xdr:nvGrpSpPr>
      <xdr:grpSpPr>
        <a:xfrm>
          <a:off x="6709831" y="6523431"/>
          <a:ext cx="1194396" cy="1552237"/>
          <a:chOff x="3856383" y="1469302"/>
          <a:chExt cx="1732560" cy="1974878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4D96A504-3AA9-471C-BD73-570BFD058DA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38723" t="35700" r="17785" b="21934"/>
          <a:stretch/>
        </xdr:blipFill>
        <xdr:spPr>
          <a:xfrm>
            <a:off x="3856383" y="1469302"/>
            <a:ext cx="1732560" cy="1974878"/>
          </a:xfrm>
          <a:prstGeom prst="rect">
            <a:avLst/>
          </a:prstGeom>
        </xdr:spPr>
      </xdr:pic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8201C741-7099-45C0-96CF-EB640FC0DFEE}"/>
              </a:ext>
            </a:extLst>
          </xdr:cNvPr>
          <xdr:cNvSpPr/>
        </xdr:nvSpPr>
        <xdr:spPr>
          <a:xfrm>
            <a:off x="4572000" y="2027582"/>
            <a:ext cx="993912" cy="845144"/>
          </a:xfrm>
          <a:prstGeom prst="ellipse">
            <a:avLst/>
          </a:prstGeom>
          <a:noFill/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380895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76179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142683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523573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1904467" algn="l" defTabSz="76179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285362" algn="l" defTabSz="76179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2666253" algn="l" defTabSz="76179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047146" algn="l" defTabSz="76179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13</xdr:col>
      <xdr:colOff>410254</xdr:colOff>
      <xdr:row>35</xdr:row>
      <xdr:rowOff>148047</xdr:rowOff>
    </xdr:from>
    <xdr:to>
      <xdr:col>15</xdr:col>
      <xdr:colOff>378146</xdr:colOff>
      <xdr:row>43</xdr:row>
      <xdr:rowOff>172659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283AF8C6-BB3B-41DB-BDF5-DE04808E899E}"/>
            </a:ext>
          </a:extLst>
        </xdr:cNvPr>
        <xdr:cNvGrpSpPr/>
      </xdr:nvGrpSpPr>
      <xdr:grpSpPr>
        <a:xfrm>
          <a:off x="8732417" y="6559105"/>
          <a:ext cx="1189046" cy="1489996"/>
          <a:chOff x="5990607" y="3542859"/>
          <a:chExt cx="676896" cy="891493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523EFD16-1324-4733-A65F-65026193104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24925" t="30953" r="23674" b="13395"/>
          <a:stretch/>
        </xdr:blipFill>
        <xdr:spPr>
          <a:xfrm>
            <a:off x="6001388" y="3542859"/>
            <a:ext cx="666115" cy="891493"/>
          </a:xfrm>
          <a:prstGeom prst="rect">
            <a:avLst/>
          </a:prstGeom>
        </xdr:spPr>
      </xdr:pic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A47AD489-61AE-4379-B0B4-8BE7B4B2C826}"/>
              </a:ext>
            </a:extLst>
          </xdr:cNvPr>
          <xdr:cNvSpPr/>
        </xdr:nvSpPr>
        <xdr:spPr>
          <a:xfrm>
            <a:off x="5990607" y="3758203"/>
            <a:ext cx="478872" cy="416358"/>
          </a:xfrm>
          <a:prstGeom prst="ellipse">
            <a:avLst/>
          </a:prstGeom>
          <a:noFill/>
          <a:ln>
            <a:solidFill>
              <a:srgbClr val="FFFF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380895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76179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142683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523573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1904467" algn="l" defTabSz="76179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285362" algn="l" defTabSz="76179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2666253" algn="l" defTabSz="76179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047146" algn="l" defTabSz="761790" rtl="0" eaLnBrk="1" latinLnBrk="0" hangingPunct="1">
              <a:defRPr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65A5-D1ED-4FA4-B4D9-59EFF7C6C43B}">
  <dimension ref="A2:K64"/>
  <sheetViews>
    <sheetView tabSelected="1" topLeftCell="A28" zoomScale="85" zoomScaleNormal="85" workbookViewId="0">
      <selection activeCell="K38" sqref="K38"/>
    </sheetView>
  </sheetViews>
  <sheetFormatPr defaultRowHeight="14.5" x14ac:dyDescent="0.35"/>
  <cols>
    <col min="1" max="1" width="23.08984375" customWidth="1"/>
    <col min="2" max="2" width="7.6328125" customWidth="1"/>
    <col min="3" max="3" width="7.26953125" customWidth="1"/>
    <col min="4" max="4" width="7.36328125" customWidth="1"/>
    <col min="5" max="5" width="7.6328125" customWidth="1"/>
    <col min="6" max="6" width="8" customWidth="1"/>
    <col min="7" max="7" width="6.6328125" customWidth="1"/>
    <col min="8" max="8" width="6.81640625" customWidth="1"/>
    <col min="9" max="9" width="6.26953125" customWidth="1"/>
    <col min="10" max="10" width="4.36328125" customWidth="1"/>
  </cols>
  <sheetData>
    <row r="2" spans="1:2" x14ac:dyDescent="0.35">
      <c r="A2" s="7" t="s">
        <v>42</v>
      </c>
      <c r="B2" s="7">
        <v>0.9</v>
      </c>
    </row>
    <row r="3" spans="1:2" x14ac:dyDescent="0.35">
      <c r="A3" s="9" t="s">
        <v>43</v>
      </c>
      <c r="B3" s="8"/>
    </row>
    <row r="4" spans="1:2" x14ac:dyDescent="0.35">
      <c r="A4" s="1" t="s">
        <v>2</v>
      </c>
      <c r="B4" s="1">
        <v>0.2</v>
      </c>
    </row>
    <row r="5" spans="1:2" x14ac:dyDescent="0.35">
      <c r="A5" s="1" t="s">
        <v>4</v>
      </c>
      <c r="B5" s="1">
        <v>1.05</v>
      </c>
    </row>
    <row r="6" spans="1:2" x14ac:dyDescent="0.35">
      <c r="A6" s="1" t="s">
        <v>3</v>
      </c>
      <c r="B6" s="1">
        <v>0.4</v>
      </c>
    </row>
    <row r="7" spans="1:2" x14ac:dyDescent="0.35">
      <c r="A7" s="1" t="s">
        <v>32</v>
      </c>
      <c r="B7" s="1">
        <v>59</v>
      </c>
    </row>
    <row r="8" spans="1:2" x14ac:dyDescent="0.35">
      <c r="A8" s="5"/>
      <c r="B8" s="5"/>
    </row>
    <row r="9" spans="1:2" x14ac:dyDescent="0.35">
      <c r="A9" s="5" t="s">
        <v>44</v>
      </c>
    </row>
    <row r="10" spans="1:2" x14ac:dyDescent="0.35">
      <c r="A10" s="1" t="s">
        <v>33</v>
      </c>
      <c r="B10" s="1">
        <v>1.1000000000000001</v>
      </c>
    </row>
    <row r="11" spans="1:2" x14ac:dyDescent="0.35">
      <c r="A11" s="6" t="s">
        <v>47</v>
      </c>
      <c r="B11" s="6">
        <v>1.2</v>
      </c>
    </row>
    <row r="12" spans="1:2" x14ac:dyDescent="0.35">
      <c r="A12" s="6" t="s">
        <v>31</v>
      </c>
      <c r="B12" s="6">
        <v>0.3</v>
      </c>
    </row>
    <row r="13" spans="1:2" x14ac:dyDescent="0.35">
      <c r="A13" s="6" t="s">
        <v>0</v>
      </c>
      <c r="B13" s="6">
        <v>0.35</v>
      </c>
    </row>
    <row r="14" spans="1:2" x14ac:dyDescent="0.35">
      <c r="A14" s="6" t="s">
        <v>37</v>
      </c>
      <c r="B14" s="6">
        <v>0.6</v>
      </c>
    </row>
    <row r="16" spans="1:2" x14ac:dyDescent="0.35">
      <c r="A16" s="5" t="s">
        <v>45</v>
      </c>
    </row>
    <row r="17" spans="1:2" x14ac:dyDescent="0.35">
      <c r="A17" s="6" t="s">
        <v>35</v>
      </c>
      <c r="B17" s="6">
        <v>0.16</v>
      </c>
    </row>
    <row r="18" spans="1:2" x14ac:dyDescent="0.35">
      <c r="A18" s="6" t="s">
        <v>29</v>
      </c>
      <c r="B18" s="6">
        <v>0.5</v>
      </c>
    </row>
    <row r="19" spans="1:2" x14ac:dyDescent="0.35">
      <c r="A19" s="6" t="s">
        <v>26</v>
      </c>
      <c r="B19" s="6">
        <v>0.3</v>
      </c>
    </row>
    <row r="20" spans="1:2" x14ac:dyDescent="0.35">
      <c r="A20" s="6" t="s">
        <v>28</v>
      </c>
      <c r="B20" s="6">
        <v>0.6</v>
      </c>
    </row>
    <row r="21" spans="1:2" x14ac:dyDescent="0.35">
      <c r="A21" s="6" t="s">
        <v>30</v>
      </c>
      <c r="B21" s="6">
        <v>0.6</v>
      </c>
    </row>
    <row r="22" spans="1:2" x14ac:dyDescent="0.35">
      <c r="A22" s="6" t="s">
        <v>25</v>
      </c>
      <c r="B22" s="6">
        <v>0.2</v>
      </c>
    </row>
    <row r="23" spans="1:2" x14ac:dyDescent="0.35">
      <c r="A23" s="6" t="s">
        <v>34</v>
      </c>
      <c r="B23" s="6">
        <v>0.3</v>
      </c>
    </row>
    <row r="24" spans="1:2" x14ac:dyDescent="0.35">
      <c r="A24" s="6" t="s">
        <v>46</v>
      </c>
      <c r="B24" s="6">
        <v>0</v>
      </c>
    </row>
    <row r="25" spans="1:2" x14ac:dyDescent="0.35">
      <c r="A25" s="5"/>
      <c r="B25" s="5"/>
    </row>
    <row r="26" spans="1:2" x14ac:dyDescent="0.35">
      <c r="A26" s="5" t="s">
        <v>50</v>
      </c>
      <c r="B26" s="5"/>
    </row>
    <row r="27" spans="1:2" x14ac:dyDescent="0.35">
      <c r="A27" s="6" t="s">
        <v>38</v>
      </c>
      <c r="B27" s="6">
        <v>0.1</v>
      </c>
    </row>
    <row r="28" spans="1:2" x14ac:dyDescent="0.35">
      <c r="A28" s="6" t="s">
        <v>51</v>
      </c>
      <c r="B28" s="6">
        <v>0</v>
      </c>
    </row>
    <row r="29" spans="1:2" x14ac:dyDescent="0.35">
      <c r="A29" s="5"/>
      <c r="B29" s="5"/>
    </row>
    <row r="30" spans="1:2" x14ac:dyDescent="0.35">
      <c r="A30" s="5" t="s">
        <v>48</v>
      </c>
      <c r="B30" s="5"/>
    </row>
    <row r="31" spans="1:2" x14ac:dyDescent="0.35">
      <c r="A31" s="5" t="s">
        <v>49</v>
      </c>
      <c r="B31" s="5"/>
    </row>
    <row r="32" spans="1:2" x14ac:dyDescent="0.35">
      <c r="A32" s="6" t="s">
        <v>36</v>
      </c>
      <c r="B32" s="6">
        <v>0.16</v>
      </c>
    </row>
    <row r="33" spans="1:11" x14ac:dyDescent="0.35">
      <c r="A33" s="6" t="s">
        <v>40</v>
      </c>
      <c r="B33" s="6">
        <v>0</v>
      </c>
    </row>
    <row r="34" spans="1:11" x14ac:dyDescent="0.35">
      <c r="A34" s="6" t="s">
        <v>39</v>
      </c>
      <c r="B34" s="6">
        <v>0</v>
      </c>
    </row>
    <row r="35" spans="1:11" x14ac:dyDescent="0.35">
      <c r="A35" s="6" t="s">
        <v>41</v>
      </c>
      <c r="B35" s="6">
        <v>0</v>
      </c>
    </row>
    <row r="36" spans="1:11" x14ac:dyDescent="0.35">
      <c r="A36" s="5"/>
      <c r="B36" s="5"/>
    </row>
    <row r="37" spans="1:11" x14ac:dyDescent="0.35">
      <c r="A37" s="5"/>
      <c r="B37" s="5"/>
    </row>
    <row r="38" spans="1:11" x14ac:dyDescent="0.35">
      <c r="A38" s="5"/>
      <c r="B38" s="5"/>
    </row>
    <row r="40" spans="1:11" s="3" customFormat="1" ht="12" customHeight="1" x14ac:dyDescent="0.35">
      <c r="B40" s="3" t="s">
        <v>13</v>
      </c>
      <c r="C40" s="3" t="s">
        <v>14</v>
      </c>
      <c r="D40" s="3" t="s">
        <v>1</v>
      </c>
      <c r="E40" s="3" t="s">
        <v>16</v>
      </c>
      <c r="F40" s="3" t="s">
        <v>15</v>
      </c>
    </row>
    <row r="41" spans="1:11" x14ac:dyDescent="0.35">
      <c r="A41" t="s">
        <v>12</v>
      </c>
      <c r="B41">
        <v>0</v>
      </c>
      <c r="C41">
        <f>B2-B4</f>
        <v>0.7</v>
      </c>
      <c r="D41">
        <f>B10</f>
        <v>1.1000000000000001</v>
      </c>
      <c r="E41">
        <v>0</v>
      </c>
      <c r="F41">
        <f>-B7</f>
        <v>-59</v>
      </c>
    </row>
    <row r="42" spans="1:11" x14ac:dyDescent="0.35">
      <c r="A42" t="s">
        <v>27</v>
      </c>
      <c r="B42">
        <v>0</v>
      </c>
      <c r="C42">
        <f>B2-B4</f>
        <v>0.7</v>
      </c>
      <c r="D42">
        <f>B10</f>
        <v>1.1000000000000001</v>
      </c>
      <c r="E42">
        <v>180</v>
      </c>
      <c r="F42">
        <f>-(180-B7)</f>
        <v>-121</v>
      </c>
    </row>
    <row r="44" spans="1:11" x14ac:dyDescent="0.35">
      <c r="D44" s="3" t="s">
        <v>6</v>
      </c>
      <c r="E44" s="3" t="s">
        <v>7</v>
      </c>
      <c r="F44" s="3" t="s">
        <v>8</v>
      </c>
      <c r="G44" s="3" t="s">
        <v>9</v>
      </c>
      <c r="H44" s="3" t="s">
        <v>10</v>
      </c>
      <c r="I44" s="3" t="s">
        <v>11</v>
      </c>
    </row>
    <row r="45" spans="1:11" s="3" customFormat="1" x14ac:dyDescent="0.35">
      <c r="A45" s="4" t="s">
        <v>17</v>
      </c>
    </row>
    <row r="46" spans="1:11" s="3" customFormat="1" x14ac:dyDescent="0.35">
      <c r="A46" s="2" t="s">
        <v>5</v>
      </c>
      <c r="B46">
        <v>0</v>
      </c>
      <c r="C46">
        <v>0</v>
      </c>
      <c r="D46">
        <v>0.15</v>
      </c>
      <c r="E46">
        <v>0.7</v>
      </c>
      <c r="F46">
        <f>B2 - B18 +0.05</f>
        <v>0.45</v>
      </c>
      <c r="G46">
        <f>B2+B17</f>
        <v>1.06</v>
      </c>
      <c r="H46">
        <f>B14</f>
        <v>0.6</v>
      </c>
      <c r="I46">
        <f>B11</f>
        <v>1.2</v>
      </c>
      <c r="K46" s="4" t="s">
        <v>22</v>
      </c>
    </row>
    <row r="47" spans="1:11" x14ac:dyDescent="0.35">
      <c r="A47" s="2" t="s">
        <v>5</v>
      </c>
      <c r="B47">
        <v>0</v>
      </c>
      <c r="C47">
        <v>1</v>
      </c>
      <c r="D47">
        <v>0.15</v>
      </c>
      <c r="E47">
        <v>0.7</v>
      </c>
      <c r="F47">
        <f>B2 - B18 - B19</f>
        <v>0.10000000000000003</v>
      </c>
      <c r="G47">
        <f>B2</f>
        <v>0.9</v>
      </c>
      <c r="H47">
        <f>B12-B24</f>
        <v>0.3</v>
      </c>
      <c r="I47">
        <f>B14</f>
        <v>0.6</v>
      </c>
      <c r="K47" t="s">
        <v>21</v>
      </c>
    </row>
    <row r="48" spans="1:11" x14ac:dyDescent="0.35">
      <c r="A48" s="2" t="s">
        <v>5</v>
      </c>
      <c r="B48">
        <v>0</v>
      </c>
      <c r="C48">
        <v>2</v>
      </c>
      <c r="D48">
        <v>0.15</v>
      </c>
      <c r="E48">
        <v>0.7</v>
      </c>
      <c r="F48">
        <f>B2-B18-B20</f>
        <v>-0.19999999999999996</v>
      </c>
      <c r="G48">
        <f>B2-0.4</f>
        <v>0.5</v>
      </c>
      <c r="H48">
        <v>-0.2</v>
      </c>
      <c r="I48">
        <f>B12</f>
        <v>0.3</v>
      </c>
      <c r="K48" t="s">
        <v>20</v>
      </c>
    </row>
    <row r="49" spans="1:11" x14ac:dyDescent="0.35">
      <c r="A49" s="2" t="s">
        <v>18</v>
      </c>
    </row>
    <row r="50" spans="1:11" x14ac:dyDescent="0.35">
      <c r="A50" s="2" t="s">
        <v>5</v>
      </c>
      <c r="B50">
        <v>1</v>
      </c>
      <c r="C50">
        <v>0</v>
      </c>
      <c r="D50">
        <v>-0.7</v>
      </c>
      <c r="E50">
        <v>-0.15</v>
      </c>
      <c r="F50">
        <f>B2 - B18 + 0.05</f>
        <v>0.45</v>
      </c>
      <c r="G50">
        <f>B2+B17</f>
        <v>1.06</v>
      </c>
      <c r="H50">
        <f>B14</f>
        <v>0.6</v>
      </c>
      <c r="I50">
        <f>B11</f>
        <v>1.2</v>
      </c>
      <c r="K50" s="4" t="s">
        <v>22</v>
      </c>
    </row>
    <row r="51" spans="1:11" x14ac:dyDescent="0.35">
      <c r="A51" s="2" t="s">
        <v>5</v>
      </c>
      <c r="B51">
        <v>1</v>
      </c>
      <c r="C51">
        <v>1</v>
      </c>
      <c r="D51">
        <v>-0.7</v>
      </c>
      <c r="E51">
        <v>-0.15</v>
      </c>
      <c r="F51">
        <f>B2 - B18 - B19</f>
        <v>0.10000000000000003</v>
      </c>
      <c r="G51">
        <f>B2</f>
        <v>0.9</v>
      </c>
      <c r="H51">
        <f>B12-B24</f>
        <v>0.3</v>
      </c>
      <c r="I51">
        <f>B14</f>
        <v>0.6</v>
      </c>
      <c r="K51" t="s">
        <v>21</v>
      </c>
    </row>
    <row r="52" spans="1:11" x14ac:dyDescent="0.35">
      <c r="A52" s="2" t="s">
        <v>5</v>
      </c>
      <c r="B52">
        <v>1</v>
      </c>
      <c r="C52">
        <v>2</v>
      </c>
      <c r="D52">
        <v>-0.7</v>
      </c>
      <c r="E52">
        <v>-0.15</v>
      </c>
      <c r="F52">
        <f>B2-B18-B20</f>
        <v>-0.19999999999999996</v>
      </c>
      <c r="G52">
        <f>B2-0.4</f>
        <v>0.5</v>
      </c>
      <c r="H52">
        <v>-0.2</v>
      </c>
      <c r="I52">
        <f>B12</f>
        <v>0.3</v>
      </c>
      <c r="K52" t="s">
        <v>20</v>
      </c>
    </row>
    <row r="53" spans="1:11" x14ac:dyDescent="0.35">
      <c r="A53" s="2" t="s">
        <v>19</v>
      </c>
    </row>
    <row r="54" spans="1:11" x14ac:dyDescent="0.35">
      <c r="A54" s="2" t="s">
        <v>5</v>
      </c>
      <c r="B54">
        <v>2</v>
      </c>
      <c r="C54">
        <v>0</v>
      </c>
      <c r="D54">
        <v>0.2</v>
      </c>
      <c r="E54">
        <v>0.7</v>
      </c>
      <c r="F54">
        <f>B2+B6+0.1</f>
        <v>1.4000000000000001</v>
      </c>
      <c r="G54">
        <f>B2+B5+B28</f>
        <v>1.9500000000000002</v>
      </c>
      <c r="H54">
        <f>B14</f>
        <v>0.6</v>
      </c>
      <c r="I54">
        <f>B11</f>
        <v>1.2</v>
      </c>
      <c r="K54" s="4" t="s">
        <v>22</v>
      </c>
    </row>
    <row r="55" spans="1:11" x14ac:dyDescent="0.35">
      <c r="A55" s="2" t="s">
        <v>5</v>
      </c>
      <c r="B55">
        <v>2</v>
      </c>
      <c r="C55">
        <v>1</v>
      </c>
      <c r="D55">
        <v>0.2</v>
      </c>
      <c r="E55">
        <v>0.7</v>
      </c>
      <c r="F55">
        <f>B2+B6-B22</f>
        <v>1.1000000000000001</v>
      </c>
      <c r="G55">
        <f>B2+B5+B28</f>
        <v>1.9500000000000002</v>
      </c>
      <c r="H55">
        <f>B13 - B24</f>
        <v>0.35</v>
      </c>
      <c r="I55">
        <f>B14</f>
        <v>0.6</v>
      </c>
      <c r="K55" t="s">
        <v>21</v>
      </c>
    </row>
    <row r="56" spans="1:11" x14ac:dyDescent="0.35">
      <c r="A56" s="2" t="s">
        <v>5</v>
      </c>
      <c r="B56">
        <v>2</v>
      </c>
      <c r="C56">
        <v>2</v>
      </c>
      <c r="D56">
        <v>0.2</v>
      </c>
      <c r="E56">
        <v>0.7</v>
      </c>
      <c r="F56">
        <f>B2+B6 - B23 - B27</f>
        <v>0.9</v>
      </c>
      <c r="G56" s="5">
        <f>B2+B6 + B27</f>
        <v>1.4000000000000001</v>
      </c>
      <c r="H56">
        <f xml:space="preserve"> 0 - B27</f>
        <v>-0.1</v>
      </c>
      <c r="I56">
        <f>B13</f>
        <v>0.35</v>
      </c>
      <c r="K56" t="s">
        <v>20</v>
      </c>
    </row>
    <row r="57" spans="1:11" x14ac:dyDescent="0.35">
      <c r="A57" s="2" t="s">
        <v>23</v>
      </c>
    </row>
    <row r="58" spans="1:11" x14ac:dyDescent="0.35">
      <c r="A58" s="2" t="s">
        <v>5</v>
      </c>
      <c r="B58">
        <v>3</v>
      </c>
      <c r="C58">
        <v>0</v>
      </c>
      <c r="D58">
        <v>-0.12</v>
      </c>
      <c r="E58">
        <v>0.12</v>
      </c>
      <c r="F58">
        <f>B2+B6+0.1</f>
        <v>1.4000000000000001</v>
      </c>
      <c r="G58">
        <f>B2+B5-B35</f>
        <v>1.9500000000000002</v>
      </c>
      <c r="H58">
        <f>B13</f>
        <v>0.35</v>
      </c>
      <c r="I58">
        <f>B11</f>
        <v>1.2</v>
      </c>
      <c r="K58" s="4" t="s">
        <v>22</v>
      </c>
    </row>
    <row r="59" spans="1:11" x14ac:dyDescent="0.35">
      <c r="A59" s="2" t="s">
        <v>5</v>
      </c>
      <c r="B59">
        <v>3</v>
      </c>
      <c r="C59">
        <v>1</v>
      </c>
      <c r="D59">
        <v>-0.12</v>
      </c>
      <c r="E59">
        <v>0.12</v>
      </c>
      <c r="F59">
        <f>B2+B32</f>
        <v>1.06</v>
      </c>
      <c r="G59">
        <f>B2+B6 - B33</f>
        <v>1.3</v>
      </c>
      <c r="H59">
        <f>B34</f>
        <v>0</v>
      </c>
      <c r="I59">
        <f>B14</f>
        <v>0.6</v>
      </c>
      <c r="K59" t="s">
        <v>21</v>
      </c>
    </row>
    <row r="60" spans="1:11" x14ac:dyDescent="0.35">
      <c r="A60" s="2" t="s">
        <v>5</v>
      </c>
      <c r="B60">
        <v>3</v>
      </c>
      <c r="C60">
        <v>2</v>
      </c>
      <c r="D60">
        <v>-0.12</v>
      </c>
      <c r="E60">
        <v>0.12</v>
      </c>
      <c r="F60" s="5">
        <f>B2+B6 - B23</f>
        <v>1</v>
      </c>
      <c r="G60" s="5">
        <f>B2+B6</f>
        <v>1.3</v>
      </c>
      <c r="H60">
        <f>B34</f>
        <v>0</v>
      </c>
      <c r="I60">
        <f>B13-B33</f>
        <v>0.35</v>
      </c>
      <c r="K60" t="s">
        <v>20</v>
      </c>
    </row>
    <row r="61" spans="1:11" x14ac:dyDescent="0.35">
      <c r="A61" t="s">
        <v>24</v>
      </c>
    </row>
    <row r="62" spans="1:11" x14ac:dyDescent="0.35">
      <c r="A62" s="2" t="s">
        <v>5</v>
      </c>
      <c r="B62">
        <v>4</v>
      </c>
      <c r="C62">
        <v>0</v>
      </c>
      <c r="D62">
        <v>-0.7</v>
      </c>
      <c r="E62">
        <v>-0.2</v>
      </c>
      <c r="F62">
        <f>B2+B6+0.1</f>
        <v>1.4000000000000001</v>
      </c>
      <c r="G62">
        <f>B2+B5+B28</f>
        <v>1.9500000000000002</v>
      </c>
      <c r="H62">
        <f>B14</f>
        <v>0.6</v>
      </c>
      <c r="I62">
        <f>B11</f>
        <v>1.2</v>
      </c>
      <c r="K62" s="4" t="s">
        <v>22</v>
      </c>
    </row>
    <row r="63" spans="1:11" x14ac:dyDescent="0.35">
      <c r="A63" s="2" t="s">
        <v>5</v>
      </c>
      <c r="B63">
        <v>4</v>
      </c>
      <c r="C63">
        <v>1</v>
      </c>
      <c r="D63">
        <v>-0.7</v>
      </c>
      <c r="E63">
        <v>-0.2</v>
      </c>
      <c r="F63">
        <f>B2+B6-B22</f>
        <v>1.1000000000000001</v>
      </c>
      <c r="G63">
        <f>B2+B5+B28</f>
        <v>1.9500000000000002</v>
      </c>
      <c r="H63">
        <f>B13-B24</f>
        <v>0.35</v>
      </c>
      <c r="I63">
        <f>B14</f>
        <v>0.6</v>
      </c>
      <c r="K63" t="s">
        <v>21</v>
      </c>
    </row>
    <row r="64" spans="1:11" x14ac:dyDescent="0.35">
      <c r="A64" s="2" t="s">
        <v>5</v>
      </c>
      <c r="B64">
        <v>4</v>
      </c>
      <c r="C64">
        <v>2</v>
      </c>
      <c r="D64">
        <v>-0.7</v>
      </c>
      <c r="E64">
        <v>-0.2</v>
      </c>
      <c r="F64">
        <f>B2+B6 - B23 - B27</f>
        <v>0.9</v>
      </c>
      <c r="G64" s="5">
        <f>B2+B6 + B27</f>
        <v>1.4000000000000001</v>
      </c>
      <c r="H64">
        <f xml:space="preserve"> 0 - B27</f>
        <v>-0.1</v>
      </c>
      <c r="I64">
        <f>B13</f>
        <v>0.35</v>
      </c>
      <c r="K64" t="s">
        <v>20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EC4F-0F67-43FD-9F8E-60453D1D69BD}">
  <dimension ref="A2:K65"/>
  <sheetViews>
    <sheetView zoomScale="104" zoomScaleNormal="104" workbookViewId="0">
      <selection activeCell="B36" sqref="B36"/>
    </sheetView>
  </sheetViews>
  <sheetFormatPr defaultRowHeight="14.5" x14ac:dyDescent="0.35"/>
  <cols>
    <col min="1" max="1" width="30.90625" customWidth="1"/>
    <col min="2" max="2" width="7.6328125" customWidth="1"/>
    <col min="3" max="3" width="7.26953125" customWidth="1"/>
    <col min="4" max="4" width="7.36328125" customWidth="1"/>
    <col min="5" max="5" width="7.6328125" customWidth="1"/>
    <col min="6" max="6" width="8" customWidth="1"/>
    <col min="7" max="7" width="6.6328125" customWidth="1"/>
    <col min="8" max="8" width="6.81640625" customWidth="1"/>
    <col min="9" max="9" width="6.26953125" customWidth="1"/>
    <col min="10" max="10" width="4.36328125" customWidth="1"/>
  </cols>
  <sheetData>
    <row r="2" spans="1:2" x14ac:dyDescent="0.35">
      <c r="A2" s="7" t="s">
        <v>42</v>
      </c>
      <c r="B2" s="7">
        <v>0.9</v>
      </c>
    </row>
    <row r="3" spans="1:2" x14ac:dyDescent="0.35">
      <c r="A3" s="9" t="s">
        <v>43</v>
      </c>
      <c r="B3" s="8"/>
    </row>
    <row r="4" spans="1:2" x14ac:dyDescent="0.35">
      <c r="A4" s="1" t="s">
        <v>2</v>
      </c>
      <c r="B4" s="1">
        <v>0.2</v>
      </c>
    </row>
    <row r="5" spans="1:2" x14ac:dyDescent="0.35">
      <c r="A5" s="1" t="s">
        <v>4</v>
      </c>
      <c r="B5" s="1">
        <v>1.05</v>
      </c>
    </row>
    <row r="6" spans="1:2" x14ac:dyDescent="0.35">
      <c r="A6" s="1" t="s">
        <v>3</v>
      </c>
      <c r="B6" s="1">
        <v>0.4</v>
      </c>
    </row>
    <row r="7" spans="1:2" x14ac:dyDescent="0.35">
      <c r="A7" s="1" t="s">
        <v>32</v>
      </c>
      <c r="B7" s="1">
        <v>59</v>
      </c>
    </row>
    <row r="8" spans="1:2" x14ac:dyDescent="0.35">
      <c r="A8" s="5"/>
      <c r="B8" s="5"/>
    </row>
    <row r="9" spans="1:2" x14ac:dyDescent="0.35">
      <c r="A9" s="5" t="s">
        <v>44</v>
      </c>
    </row>
    <row r="10" spans="1:2" x14ac:dyDescent="0.35">
      <c r="A10" s="1" t="s">
        <v>33</v>
      </c>
      <c r="B10" s="1">
        <v>1.1000000000000001</v>
      </c>
    </row>
    <row r="11" spans="1:2" x14ac:dyDescent="0.35">
      <c r="A11" s="6" t="s">
        <v>47</v>
      </c>
      <c r="B11" s="6">
        <v>1.2</v>
      </c>
    </row>
    <row r="12" spans="1:2" x14ac:dyDescent="0.35">
      <c r="A12" s="6" t="s">
        <v>31</v>
      </c>
      <c r="B12" s="6">
        <v>0.3</v>
      </c>
    </row>
    <row r="13" spans="1:2" x14ac:dyDescent="0.35">
      <c r="A13" s="6" t="s">
        <v>0</v>
      </c>
      <c r="B13" s="6">
        <v>0.35</v>
      </c>
    </row>
    <row r="14" spans="1:2" x14ac:dyDescent="0.35">
      <c r="A14" s="6" t="s">
        <v>37</v>
      </c>
      <c r="B14" s="6">
        <v>0.6</v>
      </c>
    </row>
    <row r="16" spans="1:2" x14ac:dyDescent="0.35">
      <c r="A16" s="5" t="s">
        <v>45</v>
      </c>
    </row>
    <row r="17" spans="1:2" x14ac:dyDescent="0.35">
      <c r="A17" s="6" t="s">
        <v>35</v>
      </c>
      <c r="B17" s="6">
        <v>0.16</v>
      </c>
    </row>
    <row r="18" spans="1:2" x14ac:dyDescent="0.35">
      <c r="A18" s="6" t="s">
        <v>29</v>
      </c>
      <c r="B18" s="6">
        <v>0.5</v>
      </c>
    </row>
    <row r="19" spans="1:2" x14ac:dyDescent="0.35">
      <c r="A19" s="6" t="s">
        <v>26</v>
      </c>
      <c r="B19" s="6">
        <v>0.3</v>
      </c>
    </row>
    <row r="20" spans="1:2" x14ac:dyDescent="0.35">
      <c r="A20" s="6" t="s">
        <v>28</v>
      </c>
      <c r="B20" s="6">
        <v>0.6</v>
      </c>
    </row>
    <row r="21" spans="1:2" x14ac:dyDescent="0.35">
      <c r="A21" s="6" t="s">
        <v>30</v>
      </c>
      <c r="B21" s="6">
        <v>0.6</v>
      </c>
    </row>
    <row r="22" spans="1:2" x14ac:dyDescent="0.35">
      <c r="A22" s="6" t="s">
        <v>25</v>
      </c>
      <c r="B22" s="6">
        <v>0.2</v>
      </c>
    </row>
    <row r="23" spans="1:2" x14ac:dyDescent="0.35">
      <c r="A23" s="6" t="s">
        <v>34</v>
      </c>
      <c r="B23" s="6">
        <v>0.3</v>
      </c>
    </row>
    <row r="24" spans="1:2" x14ac:dyDescent="0.35">
      <c r="A24" s="6" t="s">
        <v>46</v>
      </c>
      <c r="B24" s="6">
        <v>0.2</v>
      </c>
    </row>
    <row r="25" spans="1:2" x14ac:dyDescent="0.35">
      <c r="A25" s="5"/>
      <c r="B25" s="5"/>
    </row>
    <row r="26" spans="1:2" x14ac:dyDescent="0.35">
      <c r="A26" s="5" t="s">
        <v>50</v>
      </c>
      <c r="B26" s="5"/>
    </row>
    <row r="27" spans="1:2" x14ac:dyDescent="0.35">
      <c r="A27" s="6" t="s">
        <v>38</v>
      </c>
      <c r="B27" s="6">
        <v>0.2</v>
      </c>
    </row>
    <row r="28" spans="1:2" x14ac:dyDescent="0.35">
      <c r="A28" s="6" t="s">
        <v>51</v>
      </c>
      <c r="B28" s="6">
        <v>0.15</v>
      </c>
    </row>
    <row r="29" spans="1:2" x14ac:dyDescent="0.35">
      <c r="A29" s="5"/>
      <c r="B29" s="5"/>
    </row>
    <row r="30" spans="1:2" x14ac:dyDescent="0.35">
      <c r="A30" s="5" t="s">
        <v>48</v>
      </c>
      <c r="B30" s="5"/>
    </row>
    <row r="31" spans="1:2" x14ac:dyDescent="0.35">
      <c r="A31" s="5" t="s">
        <v>49</v>
      </c>
      <c r="B31" s="5"/>
    </row>
    <row r="32" spans="1:2" x14ac:dyDescent="0.35">
      <c r="A32" s="6" t="s">
        <v>36</v>
      </c>
      <c r="B32" s="6">
        <v>0.16</v>
      </c>
    </row>
    <row r="33" spans="1:11" x14ac:dyDescent="0.35">
      <c r="A33" s="6" t="s">
        <v>40</v>
      </c>
      <c r="B33" s="6">
        <v>0</v>
      </c>
    </row>
    <row r="34" spans="1:11" x14ac:dyDescent="0.35">
      <c r="A34" s="6" t="s">
        <v>39</v>
      </c>
      <c r="B34" s="6">
        <v>0</v>
      </c>
    </row>
    <row r="35" spans="1:11" x14ac:dyDescent="0.35">
      <c r="A35" s="6" t="s">
        <v>41</v>
      </c>
      <c r="B35" s="6">
        <v>0</v>
      </c>
    </row>
    <row r="36" spans="1:11" x14ac:dyDescent="0.35">
      <c r="A36" s="5"/>
      <c r="B36" s="5"/>
    </row>
    <row r="37" spans="1:11" x14ac:dyDescent="0.35">
      <c r="A37" s="5"/>
      <c r="B37" s="5"/>
    </row>
    <row r="38" spans="1:11" x14ac:dyDescent="0.35">
      <c r="A38" s="5"/>
      <c r="B38" s="5"/>
    </row>
    <row r="40" spans="1:11" s="3" customFormat="1" x14ac:dyDescent="0.35">
      <c r="B40" s="3" t="s">
        <v>13</v>
      </c>
      <c r="C40" s="3" t="s">
        <v>14</v>
      </c>
      <c r="D40" s="3" t="s">
        <v>1</v>
      </c>
      <c r="E40" s="3" t="s">
        <v>16</v>
      </c>
      <c r="F40" s="3" t="s">
        <v>15</v>
      </c>
    </row>
    <row r="41" spans="1:11" x14ac:dyDescent="0.35">
      <c r="A41" t="s">
        <v>12</v>
      </c>
      <c r="B41">
        <v>0</v>
      </c>
      <c r="C41">
        <f>B2-B4</f>
        <v>0.7</v>
      </c>
      <c r="D41">
        <f>B10</f>
        <v>1.1000000000000001</v>
      </c>
      <c r="E41">
        <v>0</v>
      </c>
      <c r="F41">
        <f>-B7</f>
        <v>-59</v>
      </c>
    </row>
    <row r="42" spans="1:11" x14ac:dyDescent="0.35">
      <c r="A42" t="s">
        <v>27</v>
      </c>
      <c r="B42">
        <v>0</v>
      </c>
      <c r="C42">
        <f>B2-B4</f>
        <v>0.7</v>
      </c>
      <c r="D42">
        <f>B10</f>
        <v>1.1000000000000001</v>
      </c>
      <c r="E42">
        <v>180</v>
      </c>
      <c r="F42">
        <f>-(180-B7)</f>
        <v>-121</v>
      </c>
    </row>
    <row r="45" spans="1:11" x14ac:dyDescent="0.35">
      <c r="D45" s="3" t="s">
        <v>6</v>
      </c>
      <c r="E45" s="3" t="s">
        <v>7</v>
      </c>
      <c r="F45" s="3" t="s">
        <v>8</v>
      </c>
      <c r="G45" s="3" t="s">
        <v>9</v>
      </c>
      <c r="H45" s="3" t="s">
        <v>10</v>
      </c>
      <c r="I45" s="3" t="s">
        <v>11</v>
      </c>
    </row>
    <row r="46" spans="1:11" s="3" customFormat="1" x14ac:dyDescent="0.35">
      <c r="A46" s="4" t="s">
        <v>17</v>
      </c>
    </row>
    <row r="47" spans="1:11" s="3" customFormat="1" x14ac:dyDescent="0.35">
      <c r="A47" s="2" t="s">
        <v>5</v>
      </c>
      <c r="B47">
        <v>0</v>
      </c>
      <c r="C47">
        <v>0</v>
      </c>
      <c r="D47">
        <v>0.15</v>
      </c>
      <c r="E47">
        <v>0.7</v>
      </c>
      <c r="F47">
        <f>B2 - B18 +0.05</f>
        <v>0.45</v>
      </c>
      <c r="G47">
        <f>B2+B17</f>
        <v>1.06</v>
      </c>
      <c r="H47">
        <f>B14</f>
        <v>0.6</v>
      </c>
      <c r="I47">
        <f>B11</f>
        <v>1.2</v>
      </c>
      <c r="K47" s="4" t="s">
        <v>22</v>
      </c>
    </row>
    <row r="48" spans="1:11" x14ac:dyDescent="0.35">
      <c r="A48" s="2" t="s">
        <v>5</v>
      </c>
      <c r="B48">
        <v>0</v>
      </c>
      <c r="C48">
        <v>1</v>
      </c>
      <c r="D48">
        <v>0.15</v>
      </c>
      <c r="E48">
        <v>0.7</v>
      </c>
      <c r="F48">
        <f>B2 - B18 - B19</f>
        <v>0.10000000000000003</v>
      </c>
      <c r="G48">
        <f>B2</f>
        <v>0.9</v>
      </c>
      <c r="H48">
        <f>B12-B24</f>
        <v>9.9999999999999978E-2</v>
      </c>
      <c r="I48">
        <f>B14</f>
        <v>0.6</v>
      </c>
      <c r="K48" t="s">
        <v>21</v>
      </c>
    </row>
    <row r="49" spans="1:11" x14ac:dyDescent="0.35">
      <c r="A49" s="2" t="s">
        <v>5</v>
      </c>
      <c r="B49">
        <v>0</v>
      </c>
      <c r="C49">
        <v>2</v>
      </c>
      <c r="D49">
        <v>0.15</v>
      </c>
      <c r="E49">
        <v>0.7</v>
      </c>
      <c r="F49">
        <f>B2-B18-B20</f>
        <v>-0.19999999999999996</v>
      </c>
      <c r="G49">
        <f>B2-0.4</f>
        <v>0.5</v>
      </c>
      <c r="H49">
        <v>-0.2</v>
      </c>
      <c r="I49">
        <f>B12</f>
        <v>0.3</v>
      </c>
      <c r="K49" t="s">
        <v>20</v>
      </c>
    </row>
    <row r="50" spans="1:11" x14ac:dyDescent="0.35">
      <c r="A50" s="2" t="s">
        <v>18</v>
      </c>
    </row>
    <row r="51" spans="1:11" x14ac:dyDescent="0.35">
      <c r="A51" s="2" t="s">
        <v>5</v>
      </c>
      <c r="B51">
        <v>1</v>
      </c>
      <c r="C51">
        <v>0</v>
      </c>
      <c r="D51">
        <v>-0.7</v>
      </c>
      <c r="E51">
        <v>-0.15</v>
      </c>
      <c r="F51">
        <f>B2 - B18 + 0.05</f>
        <v>0.45</v>
      </c>
      <c r="G51">
        <f>B2+B17</f>
        <v>1.06</v>
      </c>
      <c r="H51">
        <f>B14</f>
        <v>0.6</v>
      </c>
      <c r="I51">
        <f>B11</f>
        <v>1.2</v>
      </c>
      <c r="K51" s="4" t="s">
        <v>22</v>
      </c>
    </row>
    <row r="52" spans="1:11" x14ac:dyDescent="0.35">
      <c r="A52" s="2" t="s">
        <v>5</v>
      </c>
      <c r="B52">
        <v>1</v>
      </c>
      <c r="C52">
        <v>1</v>
      </c>
      <c r="D52">
        <v>-0.7</v>
      </c>
      <c r="E52">
        <v>-0.15</v>
      </c>
      <c r="F52">
        <f>B2 - B18 - B19</f>
        <v>0.10000000000000003</v>
      </c>
      <c r="G52">
        <f>B2</f>
        <v>0.9</v>
      </c>
      <c r="H52">
        <f>B12-B24</f>
        <v>9.9999999999999978E-2</v>
      </c>
      <c r="I52">
        <f>B14</f>
        <v>0.6</v>
      </c>
      <c r="K52" t="s">
        <v>21</v>
      </c>
    </row>
    <row r="53" spans="1:11" x14ac:dyDescent="0.35">
      <c r="A53" s="2" t="s">
        <v>5</v>
      </c>
      <c r="B53">
        <v>1</v>
      </c>
      <c r="C53">
        <v>2</v>
      </c>
      <c r="D53">
        <v>-0.7</v>
      </c>
      <c r="E53">
        <v>-0.15</v>
      </c>
      <c r="F53">
        <f>B2-B18-B20</f>
        <v>-0.19999999999999996</v>
      </c>
      <c r="G53">
        <f>B2-0.4</f>
        <v>0.5</v>
      </c>
      <c r="H53">
        <v>-0.2</v>
      </c>
      <c r="I53">
        <f>B12</f>
        <v>0.3</v>
      </c>
      <c r="K53" t="s">
        <v>20</v>
      </c>
    </row>
    <row r="54" spans="1:11" x14ac:dyDescent="0.35">
      <c r="A54" s="2" t="s">
        <v>19</v>
      </c>
    </row>
    <row r="55" spans="1:11" x14ac:dyDescent="0.35">
      <c r="A55" s="2" t="s">
        <v>5</v>
      </c>
      <c r="B55">
        <v>2</v>
      </c>
      <c r="C55">
        <v>0</v>
      </c>
      <c r="D55">
        <v>0.2</v>
      </c>
      <c r="E55">
        <v>0.7</v>
      </c>
      <c r="F55">
        <f>B2+B6+0.1</f>
        <v>1.4000000000000001</v>
      </c>
      <c r="G55">
        <f>B2+B5+B28</f>
        <v>2.1</v>
      </c>
      <c r="H55">
        <f>B14</f>
        <v>0.6</v>
      </c>
      <c r="I55">
        <f>B11</f>
        <v>1.2</v>
      </c>
      <c r="K55" s="4" t="s">
        <v>22</v>
      </c>
    </row>
    <row r="56" spans="1:11" x14ac:dyDescent="0.35">
      <c r="A56" s="2" t="s">
        <v>5</v>
      </c>
      <c r="B56">
        <v>2</v>
      </c>
      <c r="C56">
        <v>1</v>
      </c>
      <c r="D56">
        <v>0.2</v>
      </c>
      <c r="E56">
        <v>0.7</v>
      </c>
      <c r="F56">
        <f>B2+B6-B22</f>
        <v>1.1000000000000001</v>
      </c>
      <c r="G56">
        <f>B2+B5+B28</f>
        <v>2.1</v>
      </c>
      <c r="H56">
        <f>B13 - B24</f>
        <v>0.14999999999999997</v>
      </c>
      <c r="I56">
        <f>B14</f>
        <v>0.6</v>
      </c>
      <c r="K56" t="s">
        <v>21</v>
      </c>
    </row>
    <row r="57" spans="1:11" x14ac:dyDescent="0.35">
      <c r="A57" s="2" t="s">
        <v>5</v>
      </c>
      <c r="B57">
        <v>2</v>
      </c>
      <c r="C57">
        <v>2</v>
      </c>
      <c r="D57">
        <v>0.2</v>
      </c>
      <c r="E57">
        <v>0.7</v>
      </c>
      <c r="F57">
        <f>B2+B6 - B23</f>
        <v>1</v>
      </c>
      <c r="G57" s="5">
        <f>B2+B6 + B27</f>
        <v>1.5</v>
      </c>
      <c r="H57">
        <f xml:space="preserve"> 0 - B27</f>
        <v>-0.2</v>
      </c>
      <c r="I57">
        <f>B13</f>
        <v>0.35</v>
      </c>
      <c r="K57" t="s">
        <v>20</v>
      </c>
    </row>
    <row r="58" spans="1:11" x14ac:dyDescent="0.35">
      <c r="A58" s="2" t="s">
        <v>23</v>
      </c>
    </row>
    <row r="59" spans="1:11" x14ac:dyDescent="0.35">
      <c r="A59" s="2" t="s">
        <v>5</v>
      </c>
      <c r="B59">
        <v>3</v>
      </c>
      <c r="C59">
        <v>0</v>
      </c>
      <c r="D59">
        <v>-0.12</v>
      </c>
      <c r="E59">
        <v>0.12</v>
      </c>
      <c r="F59">
        <f>B2+B6+0.1</f>
        <v>1.4000000000000001</v>
      </c>
      <c r="G59">
        <f>B2+B5-B35</f>
        <v>1.9500000000000002</v>
      </c>
      <c r="H59">
        <f>B13</f>
        <v>0.35</v>
      </c>
      <c r="I59">
        <f>B11</f>
        <v>1.2</v>
      </c>
      <c r="K59" s="4" t="s">
        <v>22</v>
      </c>
    </row>
    <row r="60" spans="1:11" x14ac:dyDescent="0.35">
      <c r="A60" s="2" t="s">
        <v>5</v>
      </c>
      <c r="B60">
        <v>3</v>
      </c>
      <c r="C60">
        <v>1</v>
      </c>
      <c r="D60">
        <v>-0.12</v>
      </c>
      <c r="E60">
        <v>0.12</v>
      </c>
      <c r="F60">
        <f>B2+B32</f>
        <v>1.06</v>
      </c>
      <c r="G60">
        <f>B2+B6 - B33</f>
        <v>1.3</v>
      </c>
      <c r="H60">
        <f>B34</f>
        <v>0</v>
      </c>
      <c r="I60">
        <f>B14</f>
        <v>0.6</v>
      </c>
      <c r="K60" t="s">
        <v>21</v>
      </c>
    </row>
    <row r="61" spans="1:11" x14ac:dyDescent="0.35">
      <c r="A61" s="2" t="s">
        <v>5</v>
      </c>
      <c r="B61">
        <v>3</v>
      </c>
      <c r="C61">
        <v>2</v>
      </c>
      <c r="D61">
        <v>-0.12</v>
      </c>
      <c r="E61">
        <v>0.12</v>
      </c>
      <c r="F61" s="5">
        <f>B2+B6 - B23</f>
        <v>1</v>
      </c>
      <c r="G61" s="5">
        <f>B2+B6</f>
        <v>1.3</v>
      </c>
      <c r="H61">
        <f>B34</f>
        <v>0</v>
      </c>
      <c r="I61">
        <f>B13-B33</f>
        <v>0.35</v>
      </c>
      <c r="K61" t="s">
        <v>20</v>
      </c>
    </row>
    <row r="62" spans="1:11" x14ac:dyDescent="0.35">
      <c r="A62" t="s">
        <v>24</v>
      </c>
    </row>
    <row r="63" spans="1:11" x14ac:dyDescent="0.35">
      <c r="A63" s="2" t="s">
        <v>5</v>
      </c>
      <c r="B63">
        <v>4</v>
      </c>
      <c r="C63">
        <v>0</v>
      </c>
      <c r="D63">
        <v>-0.7</v>
      </c>
      <c r="E63">
        <v>-0.2</v>
      </c>
      <c r="F63">
        <f>B2+B6+0.1</f>
        <v>1.4000000000000001</v>
      </c>
      <c r="G63">
        <f>B2+B5+B28</f>
        <v>2.1</v>
      </c>
      <c r="H63">
        <f>B14</f>
        <v>0.6</v>
      </c>
      <c r="I63">
        <f>B11</f>
        <v>1.2</v>
      </c>
      <c r="K63" s="4" t="s">
        <v>22</v>
      </c>
    </row>
    <row r="64" spans="1:11" x14ac:dyDescent="0.35">
      <c r="A64" s="2" t="s">
        <v>5</v>
      </c>
      <c r="B64">
        <v>4</v>
      </c>
      <c r="C64">
        <v>1</v>
      </c>
      <c r="D64">
        <v>-0.7</v>
      </c>
      <c r="E64">
        <v>-0.2</v>
      </c>
      <c r="F64">
        <f>B2+B6-B22</f>
        <v>1.1000000000000001</v>
      </c>
      <c r="G64">
        <f>B2+B5+B28</f>
        <v>2.1</v>
      </c>
      <c r="H64">
        <f>B13-B24</f>
        <v>0.14999999999999997</v>
      </c>
      <c r="I64">
        <f>B14</f>
        <v>0.6</v>
      </c>
      <c r="K64" t="s">
        <v>21</v>
      </c>
    </row>
    <row r="65" spans="1:11" x14ac:dyDescent="0.35">
      <c r="A65" s="2" t="s">
        <v>5</v>
      </c>
      <c r="B65">
        <v>4</v>
      </c>
      <c r="C65">
        <v>2</v>
      </c>
      <c r="D65">
        <v>-0.7</v>
      </c>
      <c r="E65">
        <v>-0.2</v>
      </c>
      <c r="F65">
        <f>B2+B6 - B23</f>
        <v>1</v>
      </c>
      <c r="G65" s="5">
        <f>B2+B6 + B27</f>
        <v>1.5</v>
      </c>
      <c r="H65">
        <f xml:space="preserve"> 0 - B27</f>
        <v>-0.2</v>
      </c>
      <c r="I65">
        <f>B13</f>
        <v>0.35</v>
      </c>
      <c r="K65" t="s">
        <v>20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zone for SBR</vt:lpstr>
      <vt:lpstr>zone for CPDLPD</vt:lpstr>
    </vt:vector>
  </TitlesOfParts>
  <Company>Texas Instruments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Zigang</dc:creator>
  <cp:lastModifiedBy>Yang, Zigang</cp:lastModifiedBy>
  <dcterms:created xsi:type="dcterms:W3CDTF">2025-02-20T15:11:49Z</dcterms:created>
  <dcterms:modified xsi:type="dcterms:W3CDTF">2025-09-25T14:33:46Z</dcterms:modified>
</cp:coreProperties>
</file>